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<sst xmlns="http://schemas.openxmlformats.org/spreadsheetml/2006/main" count="84" uniqueCount="33">
  <si>
    <t>Date</t>
  </si>
  <si>
    <t>Day/Time</t>
  </si>
  <si>
    <t>Home</t>
  </si>
  <si>
    <t>Away</t>
  </si>
  <si>
    <t>Availability</t>
  </si>
  <si>
    <t>Final schedule</t>
  </si>
  <si>
    <t>Aiden</t>
  </si>
  <si>
    <t>Chamika</t>
  </si>
  <si>
    <t>Ian</t>
  </si>
  <si>
    <t>Jay</t>
  </si>
  <si>
    <t>Patrick</t>
  </si>
  <si>
    <t>Up</t>
  </si>
  <si>
    <t>Tue 18:45</t>
  </si>
  <si>
    <t>Corstorphine III</t>
  </si>
  <si>
    <t>Penicuik IV</t>
  </si>
  <si>
    <t>Wed 18:45</t>
  </si>
  <si>
    <t>Edinburgh University V</t>
  </si>
  <si>
    <t>Mon 18:30</t>
  </si>
  <si>
    <t>Murrayfield IX @ GYLE</t>
  </si>
  <si>
    <t>Fri 19:00</t>
  </si>
  <si>
    <t>Dunbar I</t>
  </si>
  <si>
    <t>Wed 19:00</t>
  </si>
  <si>
    <t>Gullane 1</t>
  </si>
  <si>
    <t>Thu 19:00</t>
  </si>
  <si>
    <t>Haddington III</t>
  </si>
  <si>
    <t>West Lothian V</t>
  </si>
  <si>
    <t>North Merchiston V</t>
  </si>
  <si>
    <t>Edinburgh International III</t>
  </si>
  <si>
    <t>Edinburgh Sports Club III</t>
  </si>
  <si>
    <t>Corstorphine II</t>
  </si>
  <si>
    <t>Tue 18:00</t>
  </si>
  <si>
    <t>Thu 19:15</t>
  </si>
  <si>
    <t>Wed 18:30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</si>
</sst>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2" fillId="2" fontId="1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0" fontId="1" numFmtId="0" xfId="0" applyAlignment="1" applyBorder="1" applyFont="1">
      <alignment horizontal="center" readingOrder="0"/>
    </xf>
    <xf borderId="6" fillId="2" fontId="1" numFmtId="0" xfId="0" applyAlignment="1" applyBorder="1" applyFont="1">
      <alignment horizontal="center" readingOrder="0"/>
    </xf>
    <xf borderId="6" fillId="0" fontId="3" numFmtId="164" xfId="0" applyAlignment="1" applyBorder="1" applyFont="1" applyNumberFormat="1">
      <alignment readingOrder="0"/>
    </xf>
    <xf borderId="6" fillId="0" fontId="3" numFmtId="0" xfId="0" applyAlignment="1" applyBorder="1" applyFont="1">
      <alignment readingOrder="0"/>
    </xf>
    <xf borderId="6" fillId="0" fontId="3" numFmtId="0" xfId="0" applyBorder="1" applyFont="1"/>
    <xf borderId="6" fillId="2" fontId="3" numFmtId="0" xfId="0" applyAlignment="1" applyBorder="1" applyFont="1">
      <alignment readingOrder="0"/>
    </xf>
    <xf borderId="6" fillId="2" fontId="3" numFmtId="0" xfId="0" applyBorder="1" applyFont="1"/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8.63"/>
    <col customWidth="1" min="2" max="2" width="10.13"/>
    <col customWidth="1" min="3" max="4" width="20.13"/>
    <col customWidth="1" min="5" max="5" width="8.88"/>
    <col customWidth="1" min="6" max="6" width="8.0"/>
    <col customWidth="1" min="7" max="7" width="7.63"/>
    <col customWidth="1" min="8" max="8" width="6.63"/>
    <col customWidth="1" min="9" max="9" width="7.13"/>
    <col customWidth="1" min="10" max="10" width="5.75"/>
    <col customWidth="1" min="11" max="11" width="7.25"/>
    <col customWidth="1" min="12" max="12" width="8.0"/>
    <col customWidth="1" min="13" max="13" width="7.5"/>
    <col customWidth="1" min="14" max="14" width="7.0"/>
    <col customWidth="1" min="15" max="15" width="6.75"/>
    <col customWidth="1" min="16" max="16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4"/>
      <c r="K1" s="5" t="s">
        <v>5</v>
      </c>
      <c r="L1" s="3"/>
      <c r="M1" s="3"/>
      <c r="N1" s="3"/>
      <c r="O1" s="3"/>
      <c r="P1" s="4"/>
    </row>
    <row r="2">
      <c r="A2" s="6"/>
      <c r="B2" s="6"/>
      <c r="C2" s="6"/>
      <c r="D2" s="6"/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8" t="s">
        <v>6</v>
      </c>
      <c r="L2" s="8" t="s">
        <v>7</v>
      </c>
      <c r="M2" s="8" t="s">
        <v>8</v>
      </c>
      <c r="N2" s="8" t="s">
        <v>9</v>
      </c>
      <c r="O2" s="8" t="s">
        <v>10</v>
      </c>
      <c r="P2" s="8" t="s">
        <v>11</v>
      </c>
    </row>
    <row r="3">
      <c r="A3" s="9">
        <v>45916.0</v>
      </c>
      <c r="B3" s="10" t="s">
        <v>12</v>
      </c>
      <c r="C3" s="10" t="s">
        <v>13</v>
      </c>
      <c r="D3" s="10" t="s">
        <v>14</v>
      </c>
      <c r="E3" s="10" t="b">
        <v>1</v>
      </c>
      <c r="F3" s="10" t="b">
        <v>0</v>
      </c>
      <c r="G3" s="10" t="b">
        <v>1</v>
      </c>
      <c r="H3" s="10" t="b">
        <v>1</v>
      </c>
      <c r="I3" s="11" t="b">
        <v>0</v>
      </c>
      <c r="J3" s="11" t="b">
        <v>0</v>
      </c>
      <c r="K3" s="12" t="b">
        <v>1</v>
      </c>
      <c r="L3" s="12" t="b">
        <v>0</v>
      </c>
      <c r="M3" s="12" t="b">
        <v>1</v>
      </c>
      <c r="N3" s="12" t="b">
        <v>1</v>
      </c>
      <c r="O3" s="13" t="b">
        <v>0</v>
      </c>
      <c r="P3" s="13" t="b">
        <v>0</v>
      </c>
      <c r="Q3" s="14">
        <f t="shared" ref="Q3:Q24" si="1">COUNTIF(K3:P3,true)</f>
        <v>3</v>
      </c>
    </row>
    <row r="4">
      <c r="A4" s="9">
        <v>45924.0</v>
      </c>
      <c r="B4" s="10" t="s">
        <v>15</v>
      </c>
      <c r="C4" s="10" t="s">
        <v>14</v>
      </c>
      <c r="D4" s="10" t="s">
        <v>16</v>
      </c>
      <c r="E4" s="10" t="b">
        <v>1</v>
      </c>
      <c r="F4" s="10" t="b">
        <v>1</v>
      </c>
      <c r="G4" s="10" t="b">
        <v>1</v>
      </c>
      <c r="H4" s="10" t="b">
        <v>1</v>
      </c>
      <c r="I4" s="10" t="b">
        <v>0</v>
      </c>
      <c r="J4" s="11" t="b">
        <v>0</v>
      </c>
      <c r="K4" s="12" t="b">
        <v>1</v>
      </c>
      <c r="L4" s="12" t="b">
        <v>0</v>
      </c>
      <c r="M4" s="12" t="b">
        <v>1</v>
      </c>
      <c r="N4" s="12" t="b">
        <v>1</v>
      </c>
      <c r="O4" s="12" t="b">
        <v>0</v>
      </c>
      <c r="P4" s="13" t="b">
        <v>0</v>
      </c>
      <c r="Q4" s="14">
        <f t="shared" si="1"/>
        <v>3</v>
      </c>
    </row>
    <row r="5">
      <c r="A5" s="9">
        <v>45929.0</v>
      </c>
      <c r="B5" s="10" t="s">
        <v>17</v>
      </c>
      <c r="C5" s="10" t="s">
        <v>18</v>
      </c>
      <c r="D5" s="10" t="s">
        <v>14</v>
      </c>
      <c r="E5" s="10" t="b">
        <v>1</v>
      </c>
      <c r="F5" s="10" t="b">
        <v>1</v>
      </c>
      <c r="G5" s="10" t="b">
        <v>1</v>
      </c>
      <c r="H5" s="10" t="b">
        <v>1</v>
      </c>
      <c r="I5" s="10" t="b">
        <v>0</v>
      </c>
      <c r="J5" s="11" t="b">
        <v>0</v>
      </c>
      <c r="K5" s="12" t="b">
        <v>1</v>
      </c>
      <c r="L5" s="12" t="b">
        <v>1</v>
      </c>
      <c r="M5" s="12" t="b">
        <v>1</v>
      </c>
      <c r="N5" s="12" t="b">
        <v>0</v>
      </c>
      <c r="O5" s="12" t="b">
        <v>0</v>
      </c>
      <c r="P5" s="12" t="b">
        <v>0</v>
      </c>
      <c r="Q5" s="14">
        <f t="shared" si="1"/>
        <v>3</v>
      </c>
    </row>
    <row r="6">
      <c r="A6" s="9">
        <v>45954.0</v>
      </c>
      <c r="B6" s="10" t="s">
        <v>19</v>
      </c>
      <c r="C6" s="10" t="s">
        <v>20</v>
      </c>
      <c r="D6" s="10" t="s">
        <v>14</v>
      </c>
      <c r="E6" s="10" t="b">
        <v>1</v>
      </c>
      <c r="F6" s="10" t="b">
        <v>0</v>
      </c>
      <c r="G6" s="10" t="b">
        <v>0</v>
      </c>
      <c r="H6" s="10" t="b">
        <v>1</v>
      </c>
      <c r="I6" s="10" t="b">
        <v>1</v>
      </c>
      <c r="J6" s="11" t="b">
        <v>0</v>
      </c>
      <c r="K6" s="12" t="b">
        <v>1</v>
      </c>
      <c r="L6" s="12" t="b">
        <v>0</v>
      </c>
      <c r="M6" s="12" t="b">
        <v>0</v>
      </c>
      <c r="N6" s="12" t="b">
        <v>1</v>
      </c>
      <c r="O6" s="12" t="b">
        <v>1</v>
      </c>
      <c r="P6" s="13" t="b">
        <v>0</v>
      </c>
      <c r="Q6" s="14">
        <f t="shared" si="1"/>
        <v>3</v>
      </c>
    </row>
    <row r="7">
      <c r="A7" s="9">
        <v>45959.0</v>
      </c>
      <c r="B7" s="10" t="s">
        <v>15</v>
      </c>
      <c r="C7" s="10" t="s">
        <v>14</v>
      </c>
      <c r="D7" s="10" t="s">
        <v>13</v>
      </c>
      <c r="E7" s="10" t="b">
        <v>1</v>
      </c>
      <c r="F7" s="10" t="b">
        <v>1</v>
      </c>
      <c r="G7" s="10" t="b">
        <v>0</v>
      </c>
      <c r="H7" s="10" t="b">
        <v>1</v>
      </c>
      <c r="I7" s="10" t="b">
        <v>1</v>
      </c>
      <c r="J7" s="10" t="b">
        <v>0</v>
      </c>
      <c r="K7" s="12" t="b">
        <v>1</v>
      </c>
      <c r="L7" s="12" t="b">
        <v>1</v>
      </c>
      <c r="M7" s="12" t="b">
        <v>0</v>
      </c>
      <c r="N7" s="12" t="b">
        <v>1</v>
      </c>
      <c r="O7" s="13" t="b">
        <v>0</v>
      </c>
      <c r="P7" s="12" t="b">
        <v>0</v>
      </c>
      <c r="Q7" s="14">
        <f t="shared" si="1"/>
        <v>3</v>
      </c>
    </row>
    <row r="8">
      <c r="A8" s="9">
        <v>45966.0</v>
      </c>
      <c r="B8" s="10" t="s">
        <v>21</v>
      </c>
      <c r="C8" s="10" t="s">
        <v>22</v>
      </c>
      <c r="D8" s="10" t="s">
        <v>14</v>
      </c>
      <c r="E8" s="10" t="b">
        <v>1</v>
      </c>
      <c r="F8" s="10" t="b">
        <v>1</v>
      </c>
      <c r="G8" s="10" t="b">
        <v>0</v>
      </c>
      <c r="H8" s="10" t="b">
        <v>1</v>
      </c>
      <c r="I8" s="10" t="b">
        <v>0</v>
      </c>
      <c r="J8" s="11" t="b">
        <v>0</v>
      </c>
      <c r="K8" s="12" t="b">
        <v>1</v>
      </c>
      <c r="L8" s="12" t="b">
        <v>1</v>
      </c>
      <c r="M8" s="12" t="b">
        <v>0</v>
      </c>
      <c r="N8" s="12" t="b">
        <v>1</v>
      </c>
      <c r="O8" s="12" t="b">
        <v>0</v>
      </c>
      <c r="P8" s="13" t="b">
        <v>0</v>
      </c>
      <c r="Q8" s="14">
        <f t="shared" si="1"/>
        <v>3</v>
      </c>
    </row>
    <row r="9">
      <c r="A9" s="9">
        <v>45974.0</v>
      </c>
      <c r="B9" s="10" t="s">
        <v>23</v>
      </c>
      <c r="C9" s="10" t="s">
        <v>24</v>
      </c>
      <c r="D9" s="10" t="s">
        <v>14</v>
      </c>
      <c r="E9" s="10" t="b">
        <v>1</v>
      </c>
      <c r="F9" s="10" t="b">
        <v>1</v>
      </c>
      <c r="G9" s="10" t="b">
        <v>0</v>
      </c>
      <c r="H9" s="10" t="b">
        <v>1</v>
      </c>
      <c r="I9" s="10" t="b">
        <v>0</v>
      </c>
      <c r="J9" s="11" t="b">
        <v>0</v>
      </c>
      <c r="K9" s="12" t="b">
        <v>1</v>
      </c>
      <c r="L9" s="12" t="b">
        <v>1</v>
      </c>
      <c r="M9" s="12" t="b">
        <v>0</v>
      </c>
      <c r="N9" s="12" t="b">
        <v>1</v>
      </c>
      <c r="O9" s="13" t="b">
        <v>0</v>
      </c>
      <c r="P9" s="13" t="b">
        <v>0</v>
      </c>
      <c r="Q9" s="14">
        <f t="shared" si="1"/>
        <v>3</v>
      </c>
    </row>
    <row r="10">
      <c r="A10" s="9">
        <v>45980.0</v>
      </c>
      <c r="B10" s="10" t="s">
        <v>15</v>
      </c>
      <c r="C10" s="10" t="s">
        <v>14</v>
      </c>
      <c r="D10" s="10" t="s">
        <v>25</v>
      </c>
      <c r="E10" s="10" t="b">
        <v>0</v>
      </c>
      <c r="F10" s="10" t="b">
        <v>1</v>
      </c>
      <c r="G10" s="10" t="b">
        <v>1</v>
      </c>
      <c r="H10" s="10" t="b">
        <v>0</v>
      </c>
      <c r="I10" s="10" t="b">
        <v>1</v>
      </c>
      <c r="J10" s="10" t="b">
        <v>0</v>
      </c>
      <c r="K10" s="12" t="b">
        <v>0</v>
      </c>
      <c r="L10" s="12" t="b">
        <v>1</v>
      </c>
      <c r="M10" s="12" t="b">
        <v>1</v>
      </c>
      <c r="N10" s="12" t="b">
        <v>0</v>
      </c>
      <c r="O10" s="12" t="b">
        <v>1</v>
      </c>
      <c r="P10" s="12" t="b">
        <v>0</v>
      </c>
      <c r="Q10" s="14">
        <f t="shared" si="1"/>
        <v>3</v>
      </c>
    </row>
    <row r="11">
      <c r="A11" s="9">
        <v>45985.0</v>
      </c>
      <c r="B11" s="10" t="s">
        <v>17</v>
      </c>
      <c r="C11" s="10" t="s">
        <v>26</v>
      </c>
      <c r="D11" s="10" t="s">
        <v>14</v>
      </c>
      <c r="E11" s="10" t="b">
        <v>0</v>
      </c>
      <c r="F11" s="10" t="b">
        <v>1</v>
      </c>
      <c r="G11" s="10" t="b">
        <v>1</v>
      </c>
      <c r="H11" s="10" t="b">
        <v>0</v>
      </c>
      <c r="I11" s="10" t="b">
        <v>1</v>
      </c>
      <c r="J11" s="10" t="b">
        <v>0</v>
      </c>
      <c r="K11" s="12" t="b">
        <v>0</v>
      </c>
      <c r="L11" s="12" t="b">
        <v>1</v>
      </c>
      <c r="M11" s="12" t="b">
        <v>1</v>
      </c>
      <c r="N11" s="12" t="b">
        <v>0</v>
      </c>
      <c r="O11" s="12" t="b">
        <v>1</v>
      </c>
      <c r="P11" s="12" t="b">
        <v>0</v>
      </c>
      <c r="Q11" s="14">
        <f t="shared" si="1"/>
        <v>3</v>
      </c>
    </row>
    <row r="12">
      <c r="A12" s="9">
        <v>45994.0</v>
      </c>
      <c r="B12" s="10" t="s">
        <v>15</v>
      </c>
      <c r="C12" s="10" t="s">
        <v>14</v>
      </c>
      <c r="D12" s="10" t="s">
        <v>27</v>
      </c>
      <c r="E12" s="10" t="b">
        <v>1</v>
      </c>
      <c r="F12" s="10" t="b">
        <v>1</v>
      </c>
      <c r="G12" s="10" t="b">
        <v>1</v>
      </c>
      <c r="H12" s="10" t="b">
        <v>0</v>
      </c>
      <c r="I12" s="10" t="b">
        <v>1</v>
      </c>
      <c r="J12" s="10" t="b">
        <v>0</v>
      </c>
      <c r="K12" s="12" t="b">
        <v>1</v>
      </c>
      <c r="L12" s="12" t="b">
        <v>1</v>
      </c>
      <c r="M12" s="12" t="b">
        <v>1</v>
      </c>
      <c r="N12" s="12" t="b">
        <v>0</v>
      </c>
      <c r="O12" s="12" t="b">
        <v>0</v>
      </c>
      <c r="P12" s="12" t="b">
        <v>0</v>
      </c>
      <c r="Q12" s="14">
        <f t="shared" si="1"/>
        <v>3</v>
      </c>
    </row>
    <row r="13">
      <c r="A13" s="9">
        <v>46001.0</v>
      </c>
      <c r="B13" s="10" t="s">
        <v>15</v>
      </c>
      <c r="C13" s="10" t="s">
        <v>14</v>
      </c>
      <c r="D13" s="10" t="s">
        <v>28</v>
      </c>
      <c r="E13" s="10" t="b">
        <v>0</v>
      </c>
      <c r="F13" s="10" t="b">
        <v>1</v>
      </c>
      <c r="G13" s="10" t="b">
        <v>1</v>
      </c>
      <c r="H13" s="10" t="b">
        <v>0</v>
      </c>
      <c r="I13" s="10" t="b">
        <v>1</v>
      </c>
      <c r="J13" s="10" t="b">
        <v>0</v>
      </c>
      <c r="K13" s="12" t="b">
        <v>0</v>
      </c>
      <c r="L13" s="12" t="b">
        <v>1</v>
      </c>
      <c r="M13" s="12" t="b">
        <v>1</v>
      </c>
      <c r="N13" s="12" t="b">
        <v>0</v>
      </c>
      <c r="O13" s="12" t="b">
        <v>1</v>
      </c>
      <c r="P13" s="12" t="b">
        <v>0</v>
      </c>
      <c r="Q13" s="14">
        <f t="shared" si="1"/>
        <v>3</v>
      </c>
    </row>
    <row r="14">
      <c r="A14" s="9">
        <v>45664.0</v>
      </c>
      <c r="B14" s="10" t="s">
        <v>15</v>
      </c>
      <c r="C14" s="10" t="s">
        <v>14</v>
      </c>
      <c r="D14" s="10" t="s">
        <v>29</v>
      </c>
      <c r="E14" s="10" t="b">
        <v>1</v>
      </c>
      <c r="F14" s="10" t="b">
        <v>1</v>
      </c>
      <c r="G14" s="10" t="b">
        <v>1</v>
      </c>
      <c r="H14" s="10" t="b">
        <v>1</v>
      </c>
      <c r="I14" s="10" t="b">
        <v>1</v>
      </c>
      <c r="J14" s="10" t="b">
        <v>0</v>
      </c>
      <c r="K14" s="12" t="b">
        <v>0</v>
      </c>
      <c r="L14" s="12" t="b">
        <v>0</v>
      </c>
      <c r="M14" s="12" t="b">
        <v>0</v>
      </c>
      <c r="N14" s="13" t="b">
        <v>0</v>
      </c>
      <c r="O14" s="13" t="b">
        <v>0</v>
      </c>
      <c r="P14" s="12" t="b">
        <v>0</v>
      </c>
      <c r="Q14" s="14">
        <f t="shared" si="1"/>
        <v>0</v>
      </c>
    </row>
    <row r="15">
      <c r="A15" s="9">
        <v>45673.0</v>
      </c>
      <c r="B15" s="10" t="s">
        <v>19</v>
      </c>
      <c r="C15" s="10" t="s">
        <v>16</v>
      </c>
      <c r="D15" s="10" t="s">
        <v>14</v>
      </c>
      <c r="E15" s="10" t="b">
        <v>1</v>
      </c>
      <c r="F15" s="10" t="b">
        <v>1</v>
      </c>
      <c r="G15" s="10" t="b">
        <v>1</v>
      </c>
      <c r="H15" s="10" t="b">
        <v>1</v>
      </c>
      <c r="I15" s="10" t="b">
        <v>1</v>
      </c>
      <c r="J15" s="10" t="b">
        <v>0</v>
      </c>
      <c r="K15" s="12" t="b">
        <v>0</v>
      </c>
      <c r="L15" s="12" t="b">
        <v>0</v>
      </c>
      <c r="M15" s="12" t="b">
        <v>0</v>
      </c>
      <c r="N15" s="13" t="b">
        <v>0</v>
      </c>
      <c r="O15" s="13" t="b">
        <v>0</v>
      </c>
      <c r="P15" s="12" t="b">
        <v>0</v>
      </c>
      <c r="Q15" s="14">
        <f t="shared" si="1"/>
        <v>0</v>
      </c>
    </row>
    <row r="16">
      <c r="A16" s="9">
        <v>45678.0</v>
      </c>
      <c r="B16" s="10" t="s">
        <v>15</v>
      </c>
      <c r="C16" s="10" t="s">
        <v>14</v>
      </c>
      <c r="D16" s="10" t="s">
        <v>18</v>
      </c>
      <c r="E16" s="10" t="b">
        <v>0</v>
      </c>
      <c r="F16" s="10" t="b">
        <v>1</v>
      </c>
      <c r="G16" s="10" t="b">
        <v>1</v>
      </c>
      <c r="H16" s="10" t="b">
        <v>1</v>
      </c>
      <c r="I16" s="10" t="b">
        <v>1</v>
      </c>
      <c r="J16" s="10" t="b">
        <v>0</v>
      </c>
      <c r="K16" s="12" t="b">
        <v>0</v>
      </c>
      <c r="L16" s="12" t="b">
        <v>0</v>
      </c>
      <c r="M16" s="12" t="b">
        <v>0</v>
      </c>
      <c r="N16" s="13" t="b">
        <v>0</v>
      </c>
      <c r="O16" s="13" t="b">
        <v>0</v>
      </c>
      <c r="P16" s="12" t="b">
        <v>0</v>
      </c>
      <c r="Q16" s="14">
        <f t="shared" si="1"/>
        <v>0</v>
      </c>
    </row>
    <row r="17">
      <c r="A17" s="9">
        <v>45684.0</v>
      </c>
      <c r="B17" s="10" t="s">
        <v>30</v>
      </c>
      <c r="C17" s="10" t="s">
        <v>28</v>
      </c>
      <c r="D17" s="10" t="s">
        <v>14</v>
      </c>
      <c r="E17" s="10" t="b">
        <v>0</v>
      </c>
      <c r="F17" s="10" t="b">
        <v>1</v>
      </c>
      <c r="G17" s="10" t="b">
        <v>0</v>
      </c>
      <c r="H17" s="10" t="b">
        <v>1</v>
      </c>
      <c r="I17" s="10" t="b">
        <v>1</v>
      </c>
      <c r="J17" s="10" t="b">
        <v>0</v>
      </c>
      <c r="K17" s="12" t="b">
        <v>0</v>
      </c>
      <c r="L17" s="12" t="b">
        <v>0</v>
      </c>
      <c r="M17" s="12" t="b">
        <v>0</v>
      </c>
      <c r="N17" s="13" t="b">
        <v>0</v>
      </c>
      <c r="O17" s="13" t="b">
        <v>0</v>
      </c>
      <c r="P17" s="12" t="b">
        <v>0</v>
      </c>
      <c r="Q17" s="14">
        <f t="shared" si="1"/>
        <v>0</v>
      </c>
    </row>
    <row r="18">
      <c r="A18" s="9">
        <v>45692.0</v>
      </c>
      <c r="B18" s="10" t="s">
        <v>15</v>
      </c>
      <c r="C18" s="10" t="s">
        <v>14</v>
      </c>
      <c r="D18" s="10" t="s">
        <v>20</v>
      </c>
      <c r="E18" s="10" t="b">
        <v>1</v>
      </c>
      <c r="F18" s="10" t="b">
        <v>1</v>
      </c>
      <c r="G18" s="10" t="b">
        <v>0</v>
      </c>
      <c r="H18" s="10" t="b">
        <v>0</v>
      </c>
      <c r="I18" s="10" t="b">
        <v>0</v>
      </c>
      <c r="J18" s="10" t="b">
        <v>0</v>
      </c>
      <c r="K18" s="12" t="b">
        <v>0</v>
      </c>
      <c r="L18" s="12" t="b">
        <v>0</v>
      </c>
      <c r="M18" s="12" t="b">
        <v>0</v>
      </c>
      <c r="N18" s="13" t="b">
        <v>0</v>
      </c>
      <c r="O18" s="13" t="b">
        <v>0</v>
      </c>
      <c r="P18" s="12" t="b">
        <v>0</v>
      </c>
      <c r="Q18" s="14">
        <f t="shared" si="1"/>
        <v>0</v>
      </c>
    </row>
    <row r="19">
      <c r="A19" s="9">
        <v>45698.0</v>
      </c>
      <c r="B19" s="10" t="s">
        <v>12</v>
      </c>
      <c r="C19" s="10" t="s">
        <v>29</v>
      </c>
      <c r="D19" s="10" t="s">
        <v>14</v>
      </c>
      <c r="E19" s="10" t="b">
        <v>1</v>
      </c>
      <c r="F19" s="10" t="b">
        <v>1</v>
      </c>
      <c r="G19" s="10" t="b">
        <v>0</v>
      </c>
      <c r="H19" s="11" t="b">
        <v>0</v>
      </c>
      <c r="I19" s="11" t="b">
        <v>0</v>
      </c>
      <c r="J19" s="10" t="b">
        <v>0</v>
      </c>
      <c r="K19" s="12" t="b">
        <v>0</v>
      </c>
      <c r="L19" s="12" t="b">
        <v>0</v>
      </c>
      <c r="M19" s="12" t="b">
        <v>0</v>
      </c>
      <c r="N19" s="13" t="b">
        <v>0</v>
      </c>
      <c r="O19" s="13" t="b">
        <v>0</v>
      </c>
      <c r="P19" s="12" t="b">
        <v>0</v>
      </c>
      <c r="Q19" s="14">
        <f t="shared" si="1"/>
        <v>0</v>
      </c>
    </row>
    <row r="20">
      <c r="A20" s="9">
        <v>45713.0</v>
      </c>
      <c r="B20" s="10" t="s">
        <v>15</v>
      </c>
      <c r="C20" s="10" t="s">
        <v>14</v>
      </c>
      <c r="D20" s="10" t="s">
        <v>22</v>
      </c>
      <c r="E20" s="10" t="b">
        <v>1</v>
      </c>
      <c r="F20" s="10" t="b">
        <v>1</v>
      </c>
      <c r="G20" s="10" t="b">
        <v>0</v>
      </c>
      <c r="H20" s="10" t="b">
        <v>0</v>
      </c>
      <c r="I20" s="10" t="b">
        <v>1</v>
      </c>
      <c r="J20" s="10" t="b">
        <v>0</v>
      </c>
      <c r="K20" s="12" t="b">
        <v>0</v>
      </c>
      <c r="L20" s="12" t="b">
        <v>0</v>
      </c>
      <c r="M20" s="12" t="b">
        <v>0</v>
      </c>
      <c r="N20" s="13" t="b">
        <v>0</v>
      </c>
      <c r="O20" s="13" t="b">
        <v>0</v>
      </c>
      <c r="P20" s="12" t="b">
        <v>0</v>
      </c>
      <c r="Q20" s="14">
        <f t="shared" si="1"/>
        <v>0</v>
      </c>
    </row>
    <row r="21">
      <c r="A21" s="9">
        <v>45720.0</v>
      </c>
      <c r="B21" s="10" t="s">
        <v>15</v>
      </c>
      <c r="C21" s="10" t="s">
        <v>14</v>
      </c>
      <c r="D21" s="10" t="s">
        <v>24</v>
      </c>
      <c r="E21" s="10" t="b">
        <v>0</v>
      </c>
      <c r="F21" s="10" t="b">
        <v>0</v>
      </c>
      <c r="G21" s="10" t="b">
        <v>0</v>
      </c>
      <c r="H21" s="10" t="b">
        <v>1</v>
      </c>
      <c r="I21" s="11" t="b">
        <v>0</v>
      </c>
      <c r="J21" s="10" t="b">
        <v>0</v>
      </c>
      <c r="K21" s="12" t="b">
        <v>0</v>
      </c>
      <c r="L21" s="12" t="b">
        <v>0</v>
      </c>
      <c r="M21" s="12" t="b">
        <v>0</v>
      </c>
      <c r="N21" s="13" t="b">
        <v>0</v>
      </c>
      <c r="O21" s="13" t="b">
        <v>0</v>
      </c>
      <c r="P21" s="12" t="b">
        <v>0</v>
      </c>
      <c r="Q21" s="14">
        <f t="shared" si="1"/>
        <v>0</v>
      </c>
    </row>
    <row r="22">
      <c r="A22" s="9">
        <v>45728.0</v>
      </c>
      <c r="B22" s="10" t="s">
        <v>31</v>
      </c>
      <c r="C22" s="10" t="s">
        <v>25</v>
      </c>
      <c r="D22" s="10" t="s">
        <v>14</v>
      </c>
      <c r="E22" s="10" t="b">
        <v>0</v>
      </c>
      <c r="F22" s="10" t="b">
        <v>0</v>
      </c>
      <c r="G22" s="10" t="b">
        <v>1</v>
      </c>
      <c r="H22" s="10" t="b">
        <v>1</v>
      </c>
      <c r="I22" s="10" t="b">
        <v>1</v>
      </c>
      <c r="J22" s="10" t="b">
        <v>0</v>
      </c>
      <c r="K22" s="12" t="b">
        <v>0</v>
      </c>
      <c r="L22" s="12" t="b">
        <v>0</v>
      </c>
      <c r="M22" s="12" t="b">
        <v>0</v>
      </c>
      <c r="N22" s="13" t="b">
        <v>0</v>
      </c>
      <c r="O22" s="13" t="b">
        <v>0</v>
      </c>
      <c r="P22" s="12" t="b">
        <v>0</v>
      </c>
      <c r="Q22" s="14">
        <f t="shared" si="1"/>
        <v>0</v>
      </c>
    </row>
    <row r="23">
      <c r="A23" s="9">
        <v>45734.0</v>
      </c>
      <c r="B23" s="10" t="s">
        <v>15</v>
      </c>
      <c r="C23" s="10" t="s">
        <v>14</v>
      </c>
      <c r="D23" s="10" t="s">
        <v>26</v>
      </c>
      <c r="E23" s="10" t="b">
        <v>0</v>
      </c>
      <c r="F23" s="10" t="b">
        <v>0</v>
      </c>
      <c r="G23" s="10" t="b">
        <v>1</v>
      </c>
      <c r="H23" s="10" t="b">
        <v>1</v>
      </c>
      <c r="I23" s="10" t="b">
        <v>1</v>
      </c>
      <c r="J23" s="10" t="b">
        <v>0</v>
      </c>
      <c r="K23" s="12" t="b">
        <v>0</v>
      </c>
      <c r="L23" s="12" t="b">
        <v>0</v>
      </c>
      <c r="M23" s="12" t="b">
        <v>0</v>
      </c>
      <c r="N23" s="13" t="b">
        <v>0</v>
      </c>
      <c r="O23" s="13" t="b">
        <v>0</v>
      </c>
      <c r="P23" s="12" t="b">
        <v>0</v>
      </c>
      <c r="Q23" s="14">
        <f t="shared" si="1"/>
        <v>0</v>
      </c>
    </row>
    <row r="24">
      <c r="A24" s="9">
        <v>45741.0</v>
      </c>
      <c r="B24" s="10" t="s">
        <v>32</v>
      </c>
      <c r="C24" s="10" t="s">
        <v>27</v>
      </c>
      <c r="D24" s="10" t="s">
        <v>14</v>
      </c>
      <c r="E24" s="10" t="b">
        <v>0</v>
      </c>
      <c r="F24" s="10" t="b">
        <v>0</v>
      </c>
      <c r="G24" s="10" t="b">
        <v>1</v>
      </c>
      <c r="H24" s="10" t="b">
        <v>1</v>
      </c>
      <c r="I24" s="10" t="b">
        <v>1</v>
      </c>
      <c r="J24" s="10" t="b">
        <v>0</v>
      </c>
      <c r="K24" s="12" t="b">
        <v>0</v>
      </c>
      <c r="L24" s="12" t="b">
        <v>0</v>
      </c>
      <c r="M24" s="12" t="b">
        <v>0</v>
      </c>
      <c r="N24" s="13" t="b">
        <v>0</v>
      </c>
      <c r="O24" s="13" t="b">
        <v>0</v>
      </c>
      <c r="P24" s="12" t="b">
        <v>0</v>
      </c>
      <c r="Q24" s="14">
        <f t="shared" si="1"/>
        <v>0</v>
      </c>
    </row>
    <row r="25">
      <c r="K25" s="11">
        <f t="shared" ref="K25:P25" si="2">countif(K3:K22,true)</f>
        <v>8</v>
      </c>
      <c r="L25" s="11">
        <f t="shared" si="2"/>
        <v>8</v>
      </c>
      <c r="M25" s="11">
        <f t="shared" si="2"/>
        <v>7</v>
      </c>
      <c r="N25" s="11">
        <f t="shared" si="2"/>
        <v>6</v>
      </c>
      <c r="O25" s="11">
        <f t="shared" si="2"/>
        <v>4</v>
      </c>
      <c r="P25" s="11">
        <f t="shared" si="2"/>
        <v>0</v>
      </c>
    </row>
  </sheetData>
  <mergeCells count="6">
    <mergeCell ref="A1:A2"/>
    <mergeCell ref="B1:B2"/>
    <mergeCell ref="C1:C2"/>
    <mergeCell ref="D1:D2"/>
    <mergeCell ref="E1:J1"/>
    <mergeCell ref="K1:P1"/>
  </mergeCells>
  <conditionalFormatting sqref="Q3:Q24">
    <cfRule type="cellIs" dxfId="0" priority="1" operator="notEqual">
      <formula>3</formula>
    </cfRule>
  </conditionalFormatting>
  <drawing r:id="rId1"/>
</worksheet>
</file>